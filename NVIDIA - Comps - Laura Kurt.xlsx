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mass-my.sharepoint.com/personal/lkurt_umass_edu/Documents/"/>
    </mc:Choice>
  </mc:AlternateContent>
  <xr:revisionPtr revIDLastSave="0" documentId="8_{A267EB44-9D50-ED48-B74A-74199D96E2E6}" xr6:coauthVersionLast="47" xr6:coauthVersionMax="47" xr10:uidLastSave="{00000000-0000-0000-0000-000000000000}"/>
  <bookViews>
    <workbookView xWindow="1580" yWindow="1500" windowWidth="26840" windowHeight="15940" xr2:uid="{C72CA41F-2456-924F-9740-C880A40DEB38}"/>
  </bookViews>
  <sheets>
    <sheet name="Comps-NVIDIA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" l="1"/>
  <c r="I4" i="1" s="1"/>
  <c r="G5" i="1"/>
  <c r="I5" i="1" s="1"/>
  <c r="G6" i="1"/>
  <c r="Q6" i="1" s="1"/>
  <c r="K6" i="1"/>
  <c r="G7" i="1"/>
  <c r="I7" i="1" s="1"/>
  <c r="Q7" i="1"/>
  <c r="G8" i="1"/>
  <c r="I8" i="1" s="1"/>
  <c r="G9" i="1"/>
  <c r="Q9" i="1" s="1"/>
  <c r="I9" i="1"/>
  <c r="O9" i="1"/>
  <c r="P9" i="1"/>
  <c r="P8" i="1" l="1"/>
  <c r="O8" i="1"/>
  <c r="O7" i="1"/>
  <c r="P7" i="1"/>
  <c r="P5" i="1"/>
  <c r="O5" i="1"/>
  <c r="O4" i="1"/>
  <c r="P4" i="1"/>
  <c r="I6" i="1"/>
  <c r="Q8" i="1"/>
  <c r="Q5" i="1"/>
  <c r="Q4" i="1"/>
  <c r="O6" i="1" l="1"/>
  <c r="P6" i="1"/>
</calcChain>
</file>

<file path=xl/sharedStrings.xml><?xml version="1.0" encoding="utf-8"?>
<sst xmlns="http://schemas.openxmlformats.org/spreadsheetml/2006/main" count="29" uniqueCount="29">
  <si>
    <t xml:space="preserve">Updated: November 3rd at 9:33 am using public information. </t>
  </si>
  <si>
    <t>ANET</t>
  </si>
  <si>
    <t>Arista</t>
  </si>
  <si>
    <t>MRVL</t>
  </si>
  <si>
    <t>Marvell</t>
  </si>
  <si>
    <t>AVGO</t>
  </si>
  <si>
    <t>Broadcom</t>
  </si>
  <si>
    <t>INTC</t>
  </si>
  <si>
    <t xml:space="preserve">Intel </t>
  </si>
  <si>
    <t>AMD</t>
  </si>
  <si>
    <t xml:space="preserve">AMD </t>
  </si>
  <si>
    <t>NVDA</t>
  </si>
  <si>
    <t>NVIDIA</t>
  </si>
  <si>
    <t>P/E</t>
  </si>
  <si>
    <t>EV/EBITDA</t>
  </si>
  <si>
    <t>EV/Revenue</t>
  </si>
  <si>
    <t>Net Income</t>
  </si>
  <si>
    <t>EBITDA</t>
  </si>
  <si>
    <t xml:space="preserve">Revenue </t>
  </si>
  <si>
    <t xml:space="preserve">Enterprise Value </t>
  </si>
  <si>
    <t xml:space="preserve">Net Debt </t>
  </si>
  <si>
    <t>Equity Value</t>
  </si>
  <si>
    <t xml:space="preserve">Shares Outstanding </t>
  </si>
  <si>
    <t>Share Price</t>
  </si>
  <si>
    <t xml:space="preserve">Ticker </t>
  </si>
  <si>
    <t xml:space="preserve">Company </t>
  </si>
  <si>
    <t xml:space="preserve">Valuation </t>
  </si>
  <si>
    <t xml:space="preserve">Financials </t>
  </si>
  <si>
    <t xml:space="preserve">Market Data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</si>
</sst>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theme="0"/>
      </bottom>
      <diagonal/>
    </border>
  </borders>
  <cellStyleXfs count="1">
    <xf numFmtId="0" fontId="0" fillId="0" borderId="0"/>
  </cellStyleXfs>
  <cellXfs count="8">
    <xf numFmtId="0" fontId="0" fillId="0" borderId="0" xfId="0"/>
    <xf numFmtId="3" fontId="0" fillId="0" borderId="0" xfId="0" applyNumberFormat="1"/>
    <xf numFmtId="0" fontId="0" fillId="2" borderId="0" xfId="0" applyFill="1"/>
    <xf numFmtId="3" fontId="0" fillId="2" borderId="0" xfId="0" applyNumberFormat="1" applyFill="1"/>
    <xf numFmtId="0" fontId="1" fillId="3" borderId="0" xfId="0" applyFont="1" applyFill="1"/>
    <xf numFmtId="0" fontId="1" fillId="3" borderId="0" xfId="0" applyFont="1" applyFill="1" applyAlignment="1">
      <alignment wrapText="1"/>
    </xf>
    <xf numFmtId="0" fontId="1" fillId="3" borderId="0" xfId="0" applyFont="1" applyFill="1" applyAlignment="1">
      <alignment vertical="center"/>
    </xf>
    <xf numFmtId="0" fontId="1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0DBED-F46A-964E-92F6-93087493C0BE}">
  <dimension ref="A2:Q11"/>
  <sheetViews>
    <sheetView tabSelected="1" workbookViewId="0">
      <selection activeCell="A12" sqref="A12"/>
    </sheetView>
  </sheetViews>
  <sheetFormatPr baseColWidth="10" defaultRowHeight="16" x14ac:dyDescent="0.2"/>
  <sheetData>
    <row r="2" spans="1:17" x14ac:dyDescent="0.2">
      <c r="A2" s="4"/>
      <c r="B2" s="4"/>
      <c r="C2" s="4"/>
      <c r="D2" s="4"/>
      <c r="E2" s="7"/>
      <c r="F2" s="7"/>
      <c r="G2" s="7" t="s">
        <v>28</v>
      </c>
      <c r="H2" s="7"/>
      <c r="I2" s="7"/>
      <c r="J2" s="4"/>
      <c r="K2" s="7"/>
      <c r="L2" s="7" t="s">
        <v>27</v>
      </c>
      <c r="M2" s="7"/>
      <c r="N2" s="4"/>
      <c r="O2" s="7"/>
      <c r="P2" s="7" t="s">
        <v>26</v>
      </c>
      <c r="Q2" s="7"/>
    </row>
    <row r="3" spans="1:17" ht="51" x14ac:dyDescent="0.2">
      <c r="A3" s="4" t="s">
        <v>25</v>
      </c>
      <c r="B3" s="4"/>
      <c r="C3" s="4" t="s">
        <v>24</v>
      </c>
      <c r="D3" s="4"/>
      <c r="E3" s="6" t="s">
        <v>23</v>
      </c>
      <c r="F3" s="5" t="s">
        <v>22</v>
      </c>
      <c r="G3" s="4" t="s">
        <v>21</v>
      </c>
      <c r="H3" s="4" t="s">
        <v>20</v>
      </c>
      <c r="I3" s="5" t="s">
        <v>19</v>
      </c>
      <c r="J3" s="4"/>
      <c r="K3" s="4" t="s">
        <v>18</v>
      </c>
      <c r="L3" s="4" t="s">
        <v>17</v>
      </c>
      <c r="M3" s="4" t="s">
        <v>16</v>
      </c>
      <c r="N3" s="4"/>
      <c r="O3" s="4" t="s">
        <v>15</v>
      </c>
      <c r="P3" s="4" t="s">
        <v>14</v>
      </c>
      <c r="Q3" s="4" t="s">
        <v>13</v>
      </c>
    </row>
    <row r="4" spans="1:17" x14ac:dyDescent="0.2">
      <c r="A4" s="2" t="s">
        <v>12</v>
      </c>
      <c r="B4" s="2"/>
      <c r="C4" s="2" t="s">
        <v>11</v>
      </c>
      <c r="D4" s="2"/>
      <c r="E4" s="2">
        <v>202.49</v>
      </c>
      <c r="F4" s="2">
        <v>24350</v>
      </c>
      <c r="G4" s="2">
        <f>E4*F4</f>
        <v>4930631.5</v>
      </c>
      <c r="H4" s="3">
        <v>10590</v>
      </c>
      <c r="I4" s="3">
        <f>G4+H4</f>
        <v>4941221.5</v>
      </c>
      <c r="J4" s="2"/>
      <c r="K4" s="2">
        <v>165218</v>
      </c>
      <c r="L4" s="2">
        <v>98281</v>
      </c>
      <c r="M4" s="2">
        <v>86597</v>
      </c>
      <c r="N4" s="2"/>
      <c r="O4" s="2">
        <f>I4/K4</f>
        <v>29.907283104746455</v>
      </c>
      <c r="P4" s="2">
        <f>I4/L4</f>
        <v>50.276467475910906</v>
      </c>
      <c r="Q4" s="2">
        <f>G4/M4</f>
        <v>56.937671050960198</v>
      </c>
    </row>
    <row r="5" spans="1:17" x14ac:dyDescent="0.2">
      <c r="A5" t="s">
        <v>10</v>
      </c>
      <c r="C5" t="s">
        <v>9</v>
      </c>
      <c r="E5">
        <v>256.12</v>
      </c>
      <c r="F5">
        <v>445</v>
      </c>
      <c r="G5">
        <f>E5*F5</f>
        <v>113973.40000000001</v>
      </c>
      <c r="H5">
        <v>3880</v>
      </c>
      <c r="I5">
        <f>G5+H5</f>
        <v>117853.40000000001</v>
      </c>
      <c r="K5">
        <v>29600</v>
      </c>
      <c r="L5">
        <v>5390</v>
      </c>
      <c r="M5">
        <v>2834</v>
      </c>
      <c r="O5">
        <f>I5/K5</f>
        <v>3.9815337837837839</v>
      </c>
      <c r="P5">
        <f>I5/L5</f>
        <v>21.865194805194808</v>
      </c>
      <c r="Q5">
        <f>G5/M5</f>
        <v>40.21644318983769</v>
      </c>
    </row>
    <row r="6" spans="1:17" x14ac:dyDescent="0.2">
      <c r="A6" t="s">
        <v>8</v>
      </c>
      <c r="C6" t="s">
        <v>7</v>
      </c>
      <c r="E6">
        <v>39.99</v>
      </c>
      <c r="F6">
        <v>4280</v>
      </c>
      <c r="G6">
        <f>E6*F6</f>
        <v>171157.2</v>
      </c>
      <c r="H6">
        <v>3493</v>
      </c>
      <c r="I6">
        <f>G6+H6</f>
        <v>174650.2</v>
      </c>
      <c r="K6">
        <f>6816+6650+6649+6553</f>
        <v>26668</v>
      </c>
      <c r="L6">
        <v>-163</v>
      </c>
      <c r="M6">
        <v>-20504</v>
      </c>
      <c r="O6">
        <f>I6/K6</f>
        <v>6.5490550472476379</v>
      </c>
      <c r="P6">
        <f>I6/L6</f>
        <v>-1071.473619631902</v>
      </c>
      <c r="Q6">
        <f>G6/M6</f>
        <v>-8.3475029262582918</v>
      </c>
    </row>
    <row r="7" spans="1:17" x14ac:dyDescent="0.2">
      <c r="A7" t="s">
        <v>6</v>
      </c>
      <c r="C7" t="s">
        <v>5</v>
      </c>
      <c r="E7">
        <v>369.63</v>
      </c>
      <c r="F7">
        <v>4720</v>
      </c>
      <c r="G7">
        <f>E7*F7</f>
        <v>1744653.6</v>
      </c>
      <c r="H7">
        <v>2480</v>
      </c>
      <c r="I7">
        <f>G7+H7</f>
        <v>1747133.6</v>
      </c>
      <c r="K7">
        <v>53439</v>
      </c>
      <c r="L7">
        <v>31756</v>
      </c>
      <c r="M7">
        <v>18932</v>
      </c>
      <c r="O7">
        <f>I7/K7</f>
        <v>32.693980052021935</v>
      </c>
      <c r="P7">
        <f>I7/L7</f>
        <v>55.017432926061218</v>
      </c>
      <c r="Q7">
        <f>G7/M7</f>
        <v>92.153686879357707</v>
      </c>
    </row>
    <row r="8" spans="1:17" x14ac:dyDescent="0.2">
      <c r="A8" t="s">
        <v>4</v>
      </c>
      <c r="C8" t="s">
        <v>3</v>
      </c>
      <c r="E8">
        <v>93.74</v>
      </c>
      <c r="F8">
        <v>862.1</v>
      </c>
      <c r="G8">
        <f>E8*F8</f>
        <v>80813.254000000001</v>
      </c>
      <c r="H8" s="1">
        <v>8329</v>
      </c>
      <c r="I8">
        <f>G8+H8</f>
        <v>89142.254000000001</v>
      </c>
      <c r="K8">
        <v>7230</v>
      </c>
      <c r="L8">
        <v>618</v>
      </c>
      <c r="M8">
        <v>-103</v>
      </c>
      <c r="O8">
        <f>I8/K8</f>
        <v>12.32949571230982</v>
      </c>
      <c r="P8">
        <f>I8/L8</f>
        <v>144.24312944983819</v>
      </c>
      <c r="Q8">
        <f>G8/M8</f>
        <v>-784.59469902912622</v>
      </c>
    </row>
    <row r="9" spans="1:17" x14ac:dyDescent="0.2">
      <c r="A9" t="s">
        <v>2</v>
      </c>
      <c r="C9" t="s">
        <v>1</v>
      </c>
      <c r="E9">
        <v>157.69</v>
      </c>
      <c r="F9">
        <v>1260</v>
      </c>
      <c r="G9">
        <f>E9*F9</f>
        <v>198689.4</v>
      </c>
      <c r="H9">
        <v>0</v>
      </c>
      <c r="I9">
        <f>G9+H9</f>
        <v>198689.4</v>
      </c>
      <c r="K9">
        <v>7950</v>
      </c>
      <c r="L9">
        <v>3427</v>
      </c>
      <c r="M9">
        <v>3250</v>
      </c>
      <c r="O9">
        <f>I9/K9</f>
        <v>24.992377358490565</v>
      </c>
      <c r="P9">
        <f>I9/L9</f>
        <v>57.977648088707319</v>
      </c>
      <c r="Q9">
        <f>G9/M9</f>
        <v>61.135199999999998</v>
      </c>
    </row>
    <row r="11" spans="1:17" x14ac:dyDescent="0.2">
      <c r="A1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Comps-NVIDIA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Reese Kurt</dc:creator>
  <cp:lastModifiedBy>Reese Kurt</cp:lastModifiedBy>
  <dcterms:created xsi:type="dcterms:W3CDTF">2025-11-06T17:49:34Z</dcterms:created>
  <dcterms:modified xsi:type="dcterms:W3CDTF">2025-11-06T17:50:00Z</dcterms:modified>
</cp:coreProperties>
</file>